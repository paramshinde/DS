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10" windowHeight="8205"/>
  </bookViews>
  <sheets>
    <sheet name="Sheet1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<sst xmlns="http://schemas.openxmlformats.org/spreadsheetml/2006/main" count="79" uniqueCount="29">
  <si>
    <t>Make</t>
  </si>
  <si>
    <t>Model</t>
  </si>
  <si>
    <t>Color</t>
  </si>
  <si>
    <t>Mileage</t>
  </si>
  <si>
    <t>Selling_Price</t>
  </si>
  <si>
    <t>Bag_Price</t>
  </si>
  <si>
    <t>Profit</t>
  </si>
  <si>
    <t>Honda</t>
  </si>
  <si>
    <t>Accord</t>
  </si>
  <si>
    <t>Red</t>
  </si>
  <si>
    <t>Toyota</t>
  </si>
  <si>
    <t>Corolla</t>
  </si>
  <si>
    <t>Blue</t>
  </si>
  <si>
    <t>Ford</t>
  </si>
  <si>
    <t>Mustang</t>
  </si>
  <si>
    <t>Black</t>
  </si>
  <si>
    <t>BMW</t>
  </si>
  <si>
    <t>X5</t>
  </si>
  <si>
    <t>White</t>
  </si>
  <si>
    <t>Hyundai</t>
  </si>
  <si>
    <t>Creta</t>
  </si>
  <si>
    <t>Grey</t>
  </si>
  <si>
    <t>Civic</t>
  </si>
  <si>
    <t>Silver</t>
  </si>
  <si>
    <t>Count of Color</t>
  </si>
  <si>
    <t>Grand Total</t>
  </si>
  <si>
    <t>Sum of Profit</t>
  </si>
  <si>
    <t>Average of Bag_Price</t>
  </si>
  <si>
    <t>Sum of Selling_Price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</si>
</sst>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93.8889583333" refreshedBy="Admin" recordCount="6">
  <cacheSource type="worksheet">
    <worksheetSource ref="A1:G7" sheet="Sheet1"/>
  </cacheSource>
  <cacheFields count="7">
    <cacheField name="Make" numFmtId="0">
      <sharedItems count="5">
        <s v="Honda"/>
        <s v="Toyota"/>
        <s v="Ford"/>
        <s v="BMW"/>
        <s v="Hyundai"/>
      </sharedItems>
    </cacheField>
    <cacheField name="Model" numFmtId="0">
      <sharedItems count="6">
        <s v="Accord"/>
        <s v="Corolla"/>
        <s v="Mustang"/>
        <s v="X5"/>
        <s v="Creta"/>
        <s v="Civic"/>
      </sharedItems>
    </cacheField>
    <cacheField name="Color" numFmtId="0">
      <sharedItems count="6">
        <s v="Red"/>
        <s v="Blue"/>
        <s v="Black"/>
        <s v="White"/>
        <s v="Grey"/>
        <s v="Silver"/>
      </sharedItems>
    </cacheField>
    <cacheField name="Mileage" numFmtId="0">
      <sharedItems containsSemiMixedTypes="0" containsString="0" containsNumber="1" containsInteger="1" minValue="28000" maxValue="63512" count="6">
        <n v="63512"/>
        <n v="45200"/>
        <n v="32000"/>
        <n v="28000"/>
        <n v="51000"/>
        <n v="39000"/>
      </sharedItems>
    </cacheField>
    <cacheField name="Selling_Price" numFmtId="0">
      <sharedItems containsSemiMixedTypes="0" containsString="0" containsNumber="1" containsInteger="1" minValue="4000" maxValue="25000" count="6">
        <n v="4000"/>
        <n v="5500"/>
        <n v="15000"/>
        <n v="25000"/>
        <n v="12000"/>
        <n v="8000"/>
      </sharedItems>
    </cacheField>
    <cacheField name="Bag_Price" numFmtId="0">
      <sharedItems containsSemiMixedTypes="0" containsString="0" containsNumber="1" containsInteger="1" minValue="3000" maxValue="20000" count="6">
        <n v="3000"/>
        <n v="4200"/>
        <n v="12000"/>
        <n v="20000"/>
        <n v="9000"/>
        <n v="6500"/>
      </sharedItems>
    </cacheField>
    <cacheField name="Profit" numFmtId="0">
      <sharedItems containsSemiMixedTypes="0" containsString="0" containsNumber="1" containsInteger="1" minValue="3000" maxValue="59512" count="6">
        <n v="59512"/>
        <n v="39700"/>
        <n v="17000"/>
        <n v="3000"/>
        <n v="39000"/>
        <n v="310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2"/>
    <x v="2"/>
    <x v="2"/>
    <x v="2"/>
    <x v="2"/>
  </r>
  <r>
    <x v="3"/>
    <x v="3"/>
    <x v="3"/>
    <x v="3"/>
    <x v="3"/>
    <x v="3"/>
    <x v="3"/>
  </r>
  <r>
    <x v="4"/>
    <x v="4"/>
    <x v="4"/>
    <x v="4"/>
    <x v="4"/>
    <x v="4"/>
    <x v="4"/>
  </r>
  <r>
    <x v="0"/>
    <x v="5"/>
    <x v="5"/>
    <x v="5"/>
    <x v="5"/>
    <x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11:P18" firstHeaderRow="1" firstDataRow="2" firstDataCol="1"/>
  <pivotFields count="7">
    <pivotField axis="axisRow" compact="0" showAll="0">
      <items count="6">
        <item x="3"/>
        <item x="2"/>
        <item x="0"/>
        <item x="4"/>
        <item x="1"/>
        <item t="default"/>
      </items>
    </pivotField>
    <pivotField axis="axisCol" compact="0" showAll="0">
      <items count="7">
        <item x="0"/>
        <item x="5"/>
        <item x="1"/>
        <item x="4"/>
        <item x="2"/>
        <item x="3"/>
        <item t="default"/>
      </items>
    </pivotField>
    <pivotField dataField="1"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Color" fld="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15:D21" firstHeaderRow="1" firstDataRow="1" firstDataCol="1"/>
  <pivotFields count="7">
    <pivotField axis="axisRow" compact="0" showAll="0">
      <items count="6">
        <item x="3"/>
        <item x="2"/>
        <item x="0"/>
        <item x="4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F25:G31" firstHeaderRow="1" firstDataRow="1" firstDataCol="1"/>
  <pivotFields count="7">
    <pivotField axis="axisRow" compact="0" showAll="0">
      <items count="6">
        <item x="3"/>
        <item x="2"/>
        <item x="0"/>
        <item x="4"/>
        <item x="1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Bag_Price" fld="5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L28:M35" firstHeaderRow="1" firstDataRow="1" firstDataCol="1"/>
  <pivotFields count="7">
    <pivotField compact="0" showAll="0">
      <items count="6">
        <item x="3"/>
        <item x="2"/>
        <item x="0"/>
        <item x="4"/>
        <item x="1"/>
        <item t="default"/>
      </items>
    </pivotField>
    <pivotField compact="0" showAll="0"/>
    <pivotField axis="axisRow" dataField="1" compact="0" showAll="0">
      <items count="7">
        <item x="2"/>
        <item x="1"/>
        <item x="4"/>
        <item x="0"/>
        <item x="5"/>
        <item x="3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olor" fld="2" subtotal="count" showDataAs="percentOfTota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42:B46" firstHeaderRow="1" firstDataRow="1" firstDataCol="1"/>
  <pivotFields count="7">
    <pivotField compact="0" showAll="0">
      <items count="6">
        <item x="3"/>
        <item x="2"/>
        <item x="0"/>
        <item x="4"/>
        <item x="1"/>
        <item t="default"/>
      </items>
    </pivotField>
    <pivotField axis="axisRow" measureFilter="1" compact="0" showAll="0">
      <items count="7">
        <item x="0"/>
        <item x="5"/>
        <item x="1"/>
        <item x="4"/>
        <item x="2"/>
        <item x="3"/>
        <item t="default"/>
      </items>
    </pivotField>
    <pivotField compact="0" showAll="0"/>
    <pivotField compact="0" showAll="0"/>
    <pivotField dataField="1" compact="0" showAll="0">
      <items count="7">
        <item x="0"/>
        <item x="1"/>
        <item x="5"/>
        <item x="4"/>
        <item x="2"/>
        <item x="3"/>
        <item t="default"/>
      </items>
    </pivotField>
    <pivotField compact="0" showAll="0"/>
    <pivotField compact="0" showAll="0"/>
  </pivotFields>
  <rowFields count="1">
    <field x="1"/>
  </rowFields>
  <rowItems count="4">
    <i>
      <x v="3"/>
    </i>
    <i>
      <x v="4"/>
    </i>
    <i>
      <x v="5"/>
    </i>
    <i t="grand">
      <x/>
    </i>
  </rowItems>
  <colItems count="1">
    <i/>
  </colItems>
  <dataFields count="1">
    <dataField name="Sum of Selling_Price" fld="4" baseField="0" baseItem="0"/>
  </dataFields>
  <pivotTableStyleInfo name="PivotStyleLight16" showRowHeaders="1" showColHeaders="1" showLastColumn="1"/>
  <filters count="1">
    <filter evalOrder="-1" fld="1" iMeasureFld="0" id="4" type="valueGreaterThanOrEqual">
      <autoFilter ref="A1">
        <filterColumn colId="0">
          <customFilters>
            <customFilter operator="greaterThanOrEqual" val="10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J46:J52" firstHeaderRow="1" firstDataRow="1" firstDataCol="1"/>
  <pivotFields count="7">
    <pivotField axis="axisRow" compact="0" sortType="descending" showAll="0">
      <items count="6">
        <item x="1"/>
        <item x="4"/>
        <item x="0"/>
        <item x="2"/>
        <item x="3"/>
        <item t="default"/>
      </items>
    </pivotField>
    <pivotField compact="0" showAll="0"/>
    <pivotField compact="0" showAll="0"/>
    <pivotField compact="0" showAll="0"/>
    <pivotField compact="0" sortType="descending" showAll="0">
      <items count="7">
        <item x="3"/>
        <item x="2"/>
        <item x="4"/>
        <item x="5"/>
        <item x="1"/>
        <item x="0"/>
        <item t="default"/>
      </items>
    </pivotField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2"/>
  <sheetViews>
    <sheetView tabSelected="1" topLeftCell="C35" workbookViewId="0">
      <selection activeCell="J46" sqref="J46"/>
    </sheetView>
  </sheetViews>
  <sheetFormatPr defaultColWidth="9" defaultRowHeight="15"/>
  <cols>
    <col min="1" max="1" width="12.1428571428571"/>
    <col min="2" max="3" width="20.7142857142857"/>
    <col min="4" max="4" width="13.5714285714286"/>
    <col min="5" max="5" width="11.2857142857143" customWidth="1"/>
    <col min="6" max="6" width="12.1428571428571"/>
    <col min="7" max="7" width="21.4285714285714"/>
    <col min="9" max="9" width="14.8571428571429"/>
    <col min="10" max="10" width="12.1428571428571"/>
    <col min="11" max="11" width="9.28571428571429"/>
    <col min="12" max="12" width="12.1428571428571"/>
    <col min="13" max="13" width="14.8571428571429"/>
    <col min="14" max="15" width="9.28571428571429"/>
    <col min="16" max="16" width="11.8571428571429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63512</v>
      </c>
      <c r="E2">
        <v>4000</v>
      </c>
      <c r="F2">
        <v>3000</v>
      </c>
      <c r="G2">
        <f>D2-E2</f>
        <v>59512</v>
      </c>
    </row>
    <row r="3" spans="1:7">
      <c r="A3" t="s">
        <v>10</v>
      </c>
      <c r="B3" t="s">
        <v>11</v>
      </c>
      <c r="C3" t="s">
        <v>12</v>
      </c>
      <c r="D3">
        <v>45200</v>
      </c>
      <c r="E3">
        <v>5500</v>
      </c>
      <c r="F3">
        <v>4200</v>
      </c>
      <c r="G3">
        <f>D3-E3</f>
        <v>39700</v>
      </c>
    </row>
    <row r="4" spans="1:7">
      <c r="A4" t="s">
        <v>13</v>
      </c>
      <c r="B4" t="s">
        <v>14</v>
      </c>
      <c r="C4" t="s">
        <v>15</v>
      </c>
      <c r="D4">
        <v>32000</v>
      </c>
      <c r="E4">
        <v>15000</v>
      </c>
      <c r="F4">
        <v>12000</v>
      </c>
      <c r="G4">
        <f>D4-E4</f>
        <v>17000</v>
      </c>
    </row>
    <row r="5" spans="1:7">
      <c r="A5" t="s">
        <v>16</v>
      </c>
      <c r="B5" t="s">
        <v>17</v>
      </c>
      <c r="C5" t="s">
        <v>18</v>
      </c>
      <c r="D5">
        <v>28000</v>
      </c>
      <c r="E5">
        <v>25000</v>
      </c>
      <c r="F5">
        <v>20000</v>
      </c>
      <c r="G5">
        <f>D5-E5</f>
        <v>3000</v>
      </c>
    </row>
    <row r="6" spans="1:7">
      <c r="A6" t="s">
        <v>19</v>
      </c>
      <c r="B6" t="s">
        <v>20</v>
      </c>
      <c r="C6" t="s">
        <v>21</v>
      </c>
      <c r="D6">
        <v>51000</v>
      </c>
      <c r="E6">
        <v>12000</v>
      </c>
      <c r="F6">
        <v>9000</v>
      </c>
      <c r="G6">
        <f>D6-E6</f>
        <v>39000</v>
      </c>
    </row>
    <row r="7" spans="1:7">
      <c r="A7" t="s">
        <v>7</v>
      </c>
      <c r="B7" t="s">
        <v>22</v>
      </c>
      <c r="C7" t="s">
        <v>23</v>
      </c>
      <c r="D7">
        <v>39000</v>
      </c>
      <c r="E7">
        <v>8000</v>
      </c>
      <c r="F7">
        <v>6500</v>
      </c>
      <c r="G7">
        <f>D7-E7</f>
        <v>31000</v>
      </c>
    </row>
    <row r="11" spans="9:10">
      <c r="I11" t="s">
        <v>24</v>
      </c>
      <c r="J11" t="s">
        <v>1</v>
      </c>
    </row>
    <row r="12" spans="9:16">
      <c r="I12" t="s">
        <v>0</v>
      </c>
      <c r="J12" t="s">
        <v>8</v>
      </c>
      <c r="K12" t="s">
        <v>22</v>
      </c>
      <c r="L12" t="s">
        <v>11</v>
      </c>
      <c r="M12" t="s">
        <v>20</v>
      </c>
      <c r="N12" t="s">
        <v>14</v>
      </c>
      <c r="O12" t="s">
        <v>17</v>
      </c>
      <c r="P12" t="s">
        <v>25</v>
      </c>
    </row>
    <row r="13" spans="9:16">
      <c r="I13" t="s">
        <v>16</v>
      </c>
      <c r="J13"/>
      <c r="K13"/>
      <c r="O13">
        <v>1</v>
      </c>
      <c r="P13">
        <v>1</v>
      </c>
    </row>
    <row r="14" spans="9:16">
      <c r="I14" t="s">
        <v>13</v>
      </c>
      <c r="J14"/>
      <c r="K14"/>
      <c r="N14">
        <v>1</v>
      </c>
      <c r="P14">
        <v>1</v>
      </c>
    </row>
    <row r="15" spans="3:16">
      <c r="C15" t="s">
        <v>0</v>
      </c>
      <c r="D15" t="s">
        <v>26</v>
      </c>
      <c r="E15"/>
      <c r="I15" t="s">
        <v>7</v>
      </c>
      <c r="J15">
        <v>1</v>
      </c>
      <c r="K15">
        <v>1</v>
      </c>
      <c r="P15">
        <v>2</v>
      </c>
    </row>
    <row r="16" spans="3:16">
      <c r="C16" t="s">
        <v>16</v>
      </c>
      <c r="D16">
        <v>3000</v>
      </c>
      <c r="E16"/>
      <c r="F16"/>
      <c r="G16"/>
      <c r="H16"/>
      <c r="I16" t="s">
        <v>19</v>
      </c>
      <c r="J16"/>
      <c r="K16"/>
      <c r="M16">
        <v>1</v>
      </c>
      <c r="P16">
        <v>1</v>
      </c>
    </row>
    <row r="17" spans="3:16">
      <c r="C17" t="s">
        <v>13</v>
      </c>
      <c r="D17">
        <v>17000</v>
      </c>
      <c r="E17"/>
      <c r="F17"/>
      <c r="G17"/>
      <c r="H17"/>
      <c r="I17" t="s">
        <v>10</v>
      </c>
      <c r="J17"/>
      <c r="K17"/>
      <c r="L17">
        <v>1</v>
      </c>
      <c r="P17">
        <v>1</v>
      </c>
    </row>
    <row r="18" spans="3:16">
      <c r="C18" t="s">
        <v>7</v>
      </c>
      <c r="D18">
        <v>90512</v>
      </c>
      <c r="E18"/>
      <c r="F18"/>
      <c r="G18"/>
      <c r="H18"/>
      <c r="I18" t="s">
        <v>25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6</v>
      </c>
    </row>
    <row r="19" spans="3:4">
      <c r="C19" t="s">
        <v>19</v>
      </c>
      <c r="D19">
        <v>39000</v>
      </c>
    </row>
    <row r="20" spans="3:4">
      <c r="C20" t="s">
        <v>10</v>
      </c>
      <c r="D20">
        <v>39700</v>
      </c>
    </row>
    <row r="21" spans="3:4">
      <c r="C21" t="s">
        <v>25</v>
      </c>
      <c r="D21">
        <v>189212</v>
      </c>
    </row>
    <row r="25" spans="6:7">
      <c r="F25" t="s">
        <v>0</v>
      </c>
      <c r="G25" t="s">
        <v>27</v>
      </c>
    </row>
    <row r="26" spans="6:7">
      <c r="F26" t="s">
        <v>16</v>
      </c>
      <c r="G26">
        <v>20000</v>
      </c>
    </row>
    <row r="27" spans="6:7">
      <c r="F27" t="s">
        <v>13</v>
      </c>
      <c r="G27">
        <v>12000</v>
      </c>
    </row>
    <row r="28" spans="6:13">
      <c r="F28" t="s">
        <v>7</v>
      </c>
      <c r="G28">
        <v>4750</v>
      </c>
      <c r="H28"/>
      <c r="I28"/>
      <c r="J28"/>
      <c r="K28"/>
      <c r="L28" t="s">
        <v>2</v>
      </c>
      <c r="M28" t="s">
        <v>24</v>
      </c>
    </row>
    <row r="29" spans="6:13">
      <c r="F29" t="s">
        <v>19</v>
      </c>
      <c r="G29">
        <v>9000</v>
      </c>
      <c r="H29"/>
      <c r="I29"/>
      <c r="J29"/>
      <c r="K29"/>
      <c r="L29" t="s">
        <v>15</v>
      </c>
      <c r="M29" s="2">
        <v>0.166666666666667</v>
      </c>
    </row>
    <row r="30" spans="6:13">
      <c r="F30" t="s">
        <v>10</v>
      </c>
      <c r="G30">
        <v>4200</v>
      </c>
      <c r="H30"/>
      <c r="I30"/>
      <c r="J30"/>
      <c r="K30"/>
      <c r="L30" t="s">
        <v>12</v>
      </c>
      <c r="M30" s="2">
        <v>0.166666666666667</v>
      </c>
    </row>
    <row r="31" spans="6:13">
      <c r="F31" t="s">
        <v>25</v>
      </c>
      <c r="G31">
        <v>9116.66666666667</v>
      </c>
      <c r="H31"/>
      <c r="I31"/>
      <c r="J31"/>
      <c r="K31"/>
      <c r="L31" t="s">
        <v>21</v>
      </c>
      <c r="M31" s="2">
        <v>0.166666666666667</v>
      </c>
    </row>
    <row r="32" spans="12:13">
      <c r="L32" t="s">
        <v>9</v>
      </c>
      <c r="M32" s="2">
        <v>0.166666666666667</v>
      </c>
    </row>
    <row r="33" spans="12:13">
      <c r="L33" t="s">
        <v>23</v>
      </c>
      <c r="M33" s="2">
        <v>0.166666666666667</v>
      </c>
    </row>
    <row r="34" spans="12:13">
      <c r="L34" t="s">
        <v>18</v>
      </c>
      <c r="M34" s="2">
        <v>0.166666666666667</v>
      </c>
    </row>
    <row r="35" spans="12:13">
      <c r="L35" t="s">
        <v>25</v>
      </c>
      <c r="M35" s="2">
        <v>1</v>
      </c>
    </row>
    <row r="42" spans="1:2">
      <c r="A42" t="s">
        <v>1</v>
      </c>
      <c r="B42" t="s">
        <v>28</v>
      </c>
    </row>
    <row r="43" spans="1:2">
      <c r="A43" t="s">
        <v>20</v>
      </c>
      <c r="B43">
        <v>12000</v>
      </c>
    </row>
    <row r="44" spans="1:2">
      <c r="A44" t="s">
        <v>14</v>
      </c>
      <c r="B44">
        <v>15000</v>
      </c>
    </row>
    <row r="45" spans="1:2">
      <c r="A45" t="s">
        <v>17</v>
      </c>
      <c r="B45">
        <v>25000</v>
      </c>
    </row>
    <row r="46" spans="1:10">
      <c r="A46" t="s">
        <v>25</v>
      </c>
      <c r="B46">
        <v>52000</v>
      </c>
      <c r="C46"/>
      <c r="J46" t="s">
        <v>0</v>
      </c>
    </row>
    <row r="47" spans="10:10">
      <c r="J47" t="s">
        <v>10</v>
      </c>
    </row>
    <row r="48" spans="10:10">
      <c r="J48" t="s">
        <v>19</v>
      </c>
    </row>
    <row r="49" spans="10:10">
      <c r="J49" t="s">
        <v>7</v>
      </c>
    </row>
    <row r="50" spans="10:10">
      <c r="J50" t="s">
        <v>13</v>
      </c>
    </row>
    <row r="51" spans="10:10">
      <c r="J51" t="s">
        <v>16</v>
      </c>
    </row>
    <row r="52" spans="10:10">
      <c r="J52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Param Shinde</cp:lastModifiedBy>
  <dcterms:created xsi:type="dcterms:W3CDTF">2026-03-12T15:37:00Z</dcterms:created>
  <dcterms:modified xsi:type="dcterms:W3CDTF">2026-03-12T16:18:35Z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7D43A86E9D42460981B24FB2151E95D7_12</vt:lpwstr>
  </property>
  <property fmtid="{D5CDD505-2E9C-101B-9397-08002B2CF9AE}" pid="3" name="KSOProductBuildVer">
    <vt:lpwstr>1033-12.2.0.23196</vt:lpwstr>
  </property>
</Properties>
</file>